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symf9\PhD Repositories\cherry-picking-reduction-functions\plots\higher_costs\N_16\constructing_table\analysis\"/>
    </mc:Choice>
  </mc:AlternateContent>
  <xr:revisionPtr revIDLastSave="0" documentId="13_ncr:9_{8DDEC19D-1D8E-4489-B768-20F7D4E9BCA9}" xr6:coauthVersionLast="47" xr6:coauthVersionMax="47" xr10:uidLastSave="{00000000-0000-0000-0000-000000000000}"/>
  <bookViews>
    <workbookView xWindow="-120" yWindow="-120" windowWidth="29040" windowHeight="15720" xr2:uid="{3F557E5A-1160-48D2-9D43-BF41C9EB42CC}"/>
  </bookViews>
  <sheets>
    <sheet name="building_table_results" sheetId="1" r:id="rId1"/>
  </sheets>
  <calcPr calcId="0"/>
</workbook>
</file>

<file path=xl/calcChain.xml><?xml version="1.0" encoding="utf-8"?>
<calcChain xmlns="http://schemas.openxmlformats.org/spreadsheetml/2006/main">
  <c r="O3" i="1" l="1"/>
  <c r="G7" i="1" s="1"/>
  <c r="G2" i="1" l="1"/>
  <c r="G3" i="1"/>
  <c r="G4" i="1"/>
  <c r="G5" i="1"/>
  <c r="G6" i="1"/>
</calcChain>
</file>

<file path=xl/sharedStrings.xml><?xml version="1.0" encoding="utf-8"?>
<sst xmlns="http://schemas.openxmlformats.org/spreadsheetml/2006/main" count="25" uniqueCount="17">
  <si>
    <t>cost_factor</t>
  </si>
  <si>
    <t>simulated_mt</t>
  </si>
  <si>
    <t>actual_mt</t>
  </si>
  <si>
    <t>simulated_cost</t>
  </si>
  <si>
    <t>hashes</t>
  </si>
  <si>
    <t>reductions</t>
  </si>
  <si>
    <t>duration</t>
  </si>
  <si>
    <t>Cost</t>
  </si>
  <si>
    <t>Costs</t>
  </si>
  <si>
    <t>Reduce</t>
  </si>
  <si>
    <t>Hash</t>
  </si>
  <si>
    <t>Actual Cost</t>
  </si>
  <si>
    <t>m_t</t>
  </si>
  <si>
    <t>Cost Factor</t>
  </si>
  <si>
    <t>Duration</t>
  </si>
  <si>
    <t>Vanilla</t>
  </si>
  <si>
    <t>vanilla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</si>
</sst>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3">
    <xf numFmtId="0" fontId="0" fillId="0" borderId="0" xfId="0"/>
    <xf numFmtId="0" fontId="16" fillId="0" borderId="0" xfId="0" applyFont="1"/>
    <xf numFmtId="0" fontId="16" fillId="0" borderId="0" xfId="0" applyFont="1" applyAlignment="1">
      <alignment horizontal="center"/>
    </xf>
    <xf numFmtId="0" fontId="0" fillId="33" borderId="0" xfId="0" applyFill="1"/>
    <xf numFmtId="0" fontId="16" fillId="0" borderId="10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34" borderId="0" xfId="0" applyFill="1"/>
    <xf numFmtId="0" fontId="0" fillId="34" borderId="10" xfId="0" applyFill="1" applyBorder="1"/>
    <xf numFmtId="0" fontId="0" fillId="0" borderId="13" xfId="0" applyBorder="1" applyAlignment="1">
      <alignment horizontal="center" vertical="center"/>
    </xf>
    <xf numFmtId="0" fontId="16" fillId="0" borderId="11" xfId="0" applyFont="1" applyBorder="1" applyAlignment="1">
      <alignment horizontal="center"/>
    </xf>
    <xf numFmtId="0" fontId="0" fillId="33" borderId="16" xfId="0" applyFill="1" applyBorder="1"/>
    <xf numFmtId="0" fontId="0" fillId="34" borderId="17" xfId="0" applyFill="1" applyBorder="1"/>
    <xf numFmtId="0" fontId="16" fillId="0" borderId="16" xfId="0" applyFont="1" applyBorder="1" applyAlignment="1">
      <alignment horizontal="center"/>
    </xf>
    <xf numFmtId="0" fontId="0" fillId="33" borderId="11" xfId="0" applyFill="1" applyBorder="1"/>
    <xf numFmtId="0" fontId="0" fillId="34" borderId="12" xfId="0" applyFill="1" applyBorder="1"/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3" xfId="0" applyFont="1" applyBorder="1" applyAlignment="1">
      <alignment horizontal="center"/>
    </xf>
    <xf numFmtId="0" fontId="0" fillId="0" borderId="16" xfId="0" applyFont="1" applyBorder="1" applyAlignment="1">
      <alignment horizontal="center"/>
    </xf>
    <xf numFmtId="0" fontId="0" fillId="0" borderId="11" xfId="0" applyFont="1" applyBorder="1" applyAlignment="1">
      <alignment horizontal="center"/>
    </xf>
    <xf numFmtId="0" fontId="0" fillId="0" borderId="13" xfId="0" applyBorder="1" applyAlignment="1">
      <alignment horizontal="center" vertical="center"/>
    </xf>
    <xf numFmtId="0" fontId="0" fillId="34" borderId="18" xfId="0" applyFill="1" applyBorder="1"/>
    <xf numFmtId="0" fontId="0" fillId="34" borderId="19" xfId="0" applyFill="1" applyBorder="1"/>
    <xf numFmtId="0" fontId="0" fillId="0" borderId="19" xfId="0" applyBorder="1" applyAlignment="1">
      <alignment horizontal="center" vertical="center"/>
    </xf>
    <xf numFmtId="0" fontId="0" fillId="33" borderId="18" xfId="0" applyFill="1" applyBorder="1"/>
    <xf numFmtId="0" fontId="0" fillId="33" borderId="19" xfId="0" applyFill="1" applyBorder="1"/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10" fontId="0" fillId="0" borderId="10" xfId="0" applyNumberFormat="1" applyBorder="1" applyAlignment="1">
      <alignment horizontal="center"/>
    </xf>
    <xf numFmtId="0" fontId="0" fillId="35" borderId="10" xfId="0" applyFill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475418-B3BB-434B-8C92-20FCA0178835}">
  <dimension ref="A1:O42"/>
  <sheetViews>
    <sheetView tabSelected="1" topLeftCell="A7" workbookViewId="0">
      <selection activeCell="G27" sqref="G27:J40"/>
    </sheetView>
  </sheetViews>
  <sheetFormatPr defaultRowHeight="15" x14ac:dyDescent="0.25"/>
  <cols>
    <col min="1" max="1" width="13.7109375" customWidth="1"/>
    <col min="2" max="2" width="18.28515625" customWidth="1"/>
    <col min="3" max="3" width="16.5703125" customWidth="1"/>
    <col min="4" max="4" width="17.140625" customWidth="1"/>
    <col min="5" max="5" width="12.140625" customWidth="1"/>
    <col min="6" max="7" width="16" customWidth="1"/>
    <col min="8" max="8" width="17" customWidth="1"/>
    <col min="15" max="15" width="10.28515625" customWidth="1"/>
  </cols>
  <sheetData>
    <row r="1" spans="1:1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11</v>
      </c>
      <c r="H1" s="1" t="s">
        <v>6</v>
      </c>
    </row>
    <row r="2" spans="1:15" x14ac:dyDescent="0.25">
      <c r="A2">
        <v>5</v>
      </c>
      <c r="B2">
        <v>2270</v>
      </c>
      <c r="C2">
        <v>2197</v>
      </c>
      <c r="D2">
        <v>2026772.68405492</v>
      </c>
      <c r="E2">
        <v>2600800</v>
      </c>
      <c r="F2">
        <v>863541440</v>
      </c>
      <c r="G2">
        <f>E2+(F2*O3)</f>
        <v>4150309.1333213709</v>
      </c>
      <c r="H2">
        <v>330.16673819999698</v>
      </c>
      <c r="N2" s="2" t="s">
        <v>8</v>
      </c>
      <c r="O2" s="2"/>
    </row>
    <row r="3" spans="1:15" x14ac:dyDescent="0.25">
      <c r="A3">
        <v>10</v>
      </c>
      <c r="B3">
        <v>2317</v>
      </c>
      <c r="C3">
        <v>2245</v>
      </c>
      <c r="D3">
        <v>4053545.3778719199</v>
      </c>
      <c r="E3">
        <v>2600800</v>
      </c>
      <c r="F3">
        <v>1975300366</v>
      </c>
      <c r="G3">
        <f>E3+(F3*O3)</f>
        <v>6145211.2076081112</v>
      </c>
      <c r="H3">
        <v>761.58847739999999</v>
      </c>
      <c r="N3" s="1" t="s">
        <v>9</v>
      </c>
      <c r="O3">
        <f xml:space="preserve"> 1/557.3</f>
        <v>1.7943656917279744E-3</v>
      </c>
    </row>
    <row r="4" spans="1:15" x14ac:dyDescent="0.25">
      <c r="A4">
        <v>15</v>
      </c>
      <c r="B4">
        <v>2341</v>
      </c>
      <c r="C4">
        <v>2264</v>
      </c>
      <c r="D4">
        <v>6080318.0443998799</v>
      </c>
      <c r="E4">
        <v>2600800</v>
      </c>
      <c r="F4">
        <v>3078534119</v>
      </c>
      <c r="G4">
        <f>E4+(F4*O3)</f>
        <v>8124816.0039476054</v>
      </c>
      <c r="H4">
        <v>1224.3331814000001</v>
      </c>
      <c r="N4" s="1" t="s">
        <v>10</v>
      </c>
      <c r="O4">
        <v>1</v>
      </c>
    </row>
    <row r="5" spans="1:15" x14ac:dyDescent="0.25">
      <c r="A5">
        <v>20</v>
      </c>
      <c r="B5">
        <v>2358</v>
      </c>
      <c r="C5">
        <v>2277</v>
      </c>
      <c r="D5">
        <v>8107090.7553425403</v>
      </c>
      <c r="E5">
        <v>2600800</v>
      </c>
      <c r="F5">
        <v>4189736966</v>
      </c>
      <c r="G5">
        <f>E5+(F5*O3)</f>
        <v>10118720.269154854</v>
      </c>
      <c r="H5">
        <v>1659.8530086999999</v>
      </c>
    </row>
    <row r="6" spans="1:15" x14ac:dyDescent="0.25">
      <c r="A6">
        <v>25</v>
      </c>
      <c r="B6">
        <v>2371</v>
      </c>
      <c r="C6">
        <v>2276</v>
      </c>
      <c r="D6">
        <v>10133863.377056301</v>
      </c>
      <c r="E6">
        <v>2600800</v>
      </c>
      <c r="F6">
        <v>5288083229</v>
      </c>
      <c r="G6">
        <f>E6+(F6*O3)</f>
        <v>12089555.121119685</v>
      </c>
      <c r="H6">
        <v>2044.2409072999999</v>
      </c>
    </row>
    <row r="7" spans="1:15" x14ac:dyDescent="0.25">
      <c r="A7">
        <v>30</v>
      </c>
      <c r="B7">
        <v>2381</v>
      </c>
      <c r="C7">
        <v>2291</v>
      </c>
      <c r="D7">
        <v>12160635.9783941</v>
      </c>
      <c r="E7">
        <v>2600800</v>
      </c>
      <c r="F7">
        <v>6403915448</v>
      </c>
      <c r="G7">
        <f>E7+(F7*O3)</f>
        <v>14091766.172617981</v>
      </c>
      <c r="H7">
        <v>2454.4015013999901</v>
      </c>
    </row>
    <row r="12" spans="1:15" x14ac:dyDescent="0.25">
      <c r="B12" s="1" t="s">
        <v>0</v>
      </c>
      <c r="C12" s="1" t="s">
        <v>1</v>
      </c>
      <c r="D12" s="1" t="s">
        <v>2</v>
      </c>
      <c r="E12" s="1" t="s">
        <v>3</v>
      </c>
      <c r="F12" s="1" t="s">
        <v>4</v>
      </c>
      <c r="G12" s="1" t="s">
        <v>5</v>
      </c>
      <c r="H12" s="1" t="s">
        <v>11</v>
      </c>
      <c r="I12" s="1" t="s">
        <v>6</v>
      </c>
    </row>
    <row r="13" spans="1:15" x14ac:dyDescent="0.25">
      <c r="B13">
        <v>5</v>
      </c>
      <c r="C13" s="3">
        <v>2270</v>
      </c>
      <c r="D13" s="6">
        <v>2197</v>
      </c>
      <c r="E13" s="3">
        <v>2026772.68405492</v>
      </c>
      <c r="F13">
        <v>2600800</v>
      </c>
      <c r="G13">
        <v>863541440</v>
      </c>
      <c r="H13" s="6">
        <v>4150309.1333213709</v>
      </c>
      <c r="I13">
        <v>330.16673819999698</v>
      </c>
    </row>
    <row r="14" spans="1:15" x14ac:dyDescent="0.25">
      <c r="B14">
        <v>10</v>
      </c>
      <c r="C14" s="3">
        <v>2317</v>
      </c>
      <c r="D14" s="6">
        <v>2245</v>
      </c>
      <c r="E14" s="3">
        <v>4053545.3778719199</v>
      </c>
      <c r="F14">
        <v>2600800</v>
      </c>
      <c r="G14">
        <v>1975300366</v>
      </c>
      <c r="H14" s="6">
        <v>6145211.2076081112</v>
      </c>
      <c r="I14">
        <v>761.58847739999999</v>
      </c>
    </row>
    <row r="15" spans="1:15" x14ac:dyDescent="0.25">
      <c r="B15">
        <v>15</v>
      </c>
      <c r="C15" s="3">
        <v>2341</v>
      </c>
      <c r="D15" s="6">
        <v>2264</v>
      </c>
      <c r="E15" s="3">
        <v>6080318.0443998799</v>
      </c>
      <c r="F15">
        <v>2600800</v>
      </c>
      <c r="G15">
        <v>3078534119</v>
      </c>
      <c r="H15" s="6">
        <v>8124816.0039476054</v>
      </c>
      <c r="I15">
        <v>1224.3331814000001</v>
      </c>
    </row>
    <row r="16" spans="1:15" x14ac:dyDescent="0.25">
      <c r="B16">
        <v>20</v>
      </c>
      <c r="C16" s="3">
        <v>2358</v>
      </c>
      <c r="D16" s="6">
        <v>2277</v>
      </c>
      <c r="E16" s="3">
        <v>8107090.7553425403</v>
      </c>
      <c r="F16">
        <v>2600800</v>
      </c>
      <c r="G16">
        <v>4189736966</v>
      </c>
      <c r="H16" s="6">
        <v>10118720.269154854</v>
      </c>
      <c r="I16">
        <v>1659.8530086999999</v>
      </c>
    </row>
    <row r="17" spans="2:10" x14ac:dyDescent="0.25">
      <c r="B17">
        <v>25</v>
      </c>
      <c r="C17" s="3">
        <v>2371</v>
      </c>
      <c r="D17" s="6">
        <v>2276</v>
      </c>
      <c r="E17" s="3">
        <v>10133863.377056301</v>
      </c>
      <c r="F17">
        <v>2600800</v>
      </c>
      <c r="G17">
        <v>5288083229</v>
      </c>
      <c r="H17" s="6">
        <v>12089555.121119685</v>
      </c>
      <c r="I17">
        <v>2044.2409072999999</v>
      </c>
    </row>
    <row r="18" spans="2:10" x14ac:dyDescent="0.25">
      <c r="B18">
        <v>30</v>
      </c>
      <c r="C18" s="3">
        <v>2381</v>
      </c>
      <c r="D18" s="6">
        <v>2291</v>
      </c>
      <c r="E18" s="3">
        <v>12160635.9783941</v>
      </c>
      <c r="F18">
        <v>2600800</v>
      </c>
      <c r="G18">
        <v>6403915448</v>
      </c>
      <c r="H18" s="6">
        <v>14091766.172617981</v>
      </c>
      <c r="I18">
        <v>2454.4015013999901</v>
      </c>
    </row>
    <row r="22" spans="2:10" x14ac:dyDescent="0.25">
      <c r="B22" s="4" t="s">
        <v>13</v>
      </c>
      <c r="C22" s="12" t="s">
        <v>12</v>
      </c>
      <c r="D22" s="9" t="s">
        <v>7</v>
      </c>
      <c r="E22" s="4" t="s">
        <v>14</v>
      </c>
    </row>
    <row r="23" spans="2:10" x14ac:dyDescent="0.25">
      <c r="B23" s="19" t="s">
        <v>15</v>
      </c>
      <c r="C23" s="20">
        <v>1563</v>
      </c>
      <c r="D23" s="21">
        <v>2600800</v>
      </c>
      <c r="E23" s="21">
        <v>4.1357776000077102</v>
      </c>
    </row>
    <row r="24" spans="2:10" x14ac:dyDescent="0.25">
      <c r="B24" s="8">
        <v>5</v>
      </c>
      <c r="C24" s="10">
        <v>2270</v>
      </c>
      <c r="D24" s="13">
        <v>2026772.68405492</v>
      </c>
      <c r="E24" s="15">
        <v>330.16673819999698</v>
      </c>
    </row>
    <row r="25" spans="2:10" x14ac:dyDescent="0.25">
      <c r="B25" s="8"/>
      <c r="C25" s="11">
        <v>2197</v>
      </c>
      <c r="D25" s="14">
        <v>4150309.1333213709</v>
      </c>
      <c r="E25" s="16"/>
    </row>
    <row r="26" spans="2:10" x14ac:dyDescent="0.25">
      <c r="B26" s="22"/>
      <c r="C26" s="23"/>
      <c r="D26" s="24"/>
      <c r="E26" s="25"/>
    </row>
    <row r="27" spans="2:10" x14ac:dyDescent="0.25">
      <c r="B27" s="8">
        <v>10</v>
      </c>
      <c r="C27" s="10">
        <v>2317</v>
      </c>
      <c r="D27" s="13">
        <v>4053545.3778719199</v>
      </c>
      <c r="E27" s="15">
        <v>761.58847739999999</v>
      </c>
      <c r="G27" s="5" t="s">
        <v>16</v>
      </c>
      <c r="H27" s="31">
        <v>0.85409999999999997</v>
      </c>
      <c r="I27" s="5">
        <v>1726.91</v>
      </c>
      <c r="J27" s="7">
        <v>11.45</v>
      </c>
    </row>
    <row r="28" spans="2:10" x14ac:dyDescent="0.25">
      <c r="B28" s="8"/>
      <c r="C28" s="26"/>
      <c r="D28" s="27"/>
      <c r="E28" s="28"/>
      <c r="G28" s="5"/>
      <c r="H28" s="31"/>
      <c r="I28" s="5"/>
      <c r="J28" s="32">
        <v>52.46</v>
      </c>
    </row>
    <row r="29" spans="2:10" x14ac:dyDescent="0.25">
      <c r="B29" s="8"/>
      <c r="C29" s="11">
        <v>2245</v>
      </c>
      <c r="D29" s="14">
        <v>6145211.2076081112</v>
      </c>
      <c r="E29" s="16"/>
      <c r="G29" s="5">
        <v>5</v>
      </c>
      <c r="H29" s="31">
        <v>0.93259999999999998</v>
      </c>
      <c r="I29" s="5">
        <v>1347.63</v>
      </c>
      <c r="J29" s="7">
        <v>10.87</v>
      </c>
    </row>
    <row r="30" spans="2:10" x14ac:dyDescent="0.25">
      <c r="B30" s="22"/>
      <c r="C30" s="23"/>
      <c r="D30" s="24"/>
      <c r="E30" s="25"/>
      <c r="G30" s="5"/>
      <c r="H30" s="31"/>
      <c r="I30" s="5"/>
      <c r="J30" s="32">
        <v>57.91</v>
      </c>
    </row>
    <row r="31" spans="2:10" x14ac:dyDescent="0.25">
      <c r="B31" s="8">
        <v>15</v>
      </c>
      <c r="C31" s="10">
        <v>2341</v>
      </c>
      <c r="D31" s="13">
        <v>6080318.0443998799</v>
      </c>
      <c r="E31" s="15">
        <v>1224.3331814000001</v>
      </c>
      <c r="G31" s="5">
        <v>10</v>
      </c>
      <c r="H31" s="31">
        <v>0.9385</v>
      </c>
      <c r="I31" s="5">
        <v>1304.79</v>
      </c>
      <c r="J31" s="7">
        <v>10.63</v>
      </c>
    </row>
    <row r="32" spans="2:10" x14ac:dyDescent="0.25">
      <c r="B32" s="8"/>
      <c r="C32" s="26"/>
      <c r="D32" s="27"/>
      <c r="E32" s="28"/>
      <c r="G32" s="5"/>
      <c r="H32" s="31"/>
      <c r="I32" s="5"/>
      <c r="J32" s="32">
        <v>57.89</v>
      </c>
    </row>
    <row r="33" spans="2:10" x14ac:dyDescent="0.25">
      <c r="B33" s="8"/>
      <c r="C33" s="11">
        <v>2264</v>
      </c>
      <c r="D33" s="14">
        <v>8124816.0039476054</v>
      </c>
      <c r="E33" s="16"/>
      <c r="G33" s="5">
        <v>15</v>
      </c>
      <c r="H33" s="31">
        <v>0.93930000000000002</v>
      </c>
      <c r="I33" s="5">
        <v>1294.01</v>
      </c>
      <c r="J33" s="7">
        <v>10.54</v>
      </c>
    </row>
    <row r="34" spans="2:10" x14ac:dyDescent="0.25">
      <c r="B34" s="22"/>
      <c r="C34" s="23"/>
      <c r="D34" s="24"/>
      <c r="E34" s="29"/>
      <c r="G34" s="5"/>
      <c r="H34" s="31"/>
      <c r="I34" s="5"/>
      <c r="J34" s="32">
        <v>57.88</v>
      </c>
    </row>
    <row r="35" spans="2:10" x14ac:dyDescent="0.25">
      <c r="B35" s="8">
        <v>20</v>
      </c>
      <c r="C35" s="10">
        <v>2358</v>
      </c>
      <c r="D35" s="13">
        <v>8107090.7553425403</v>
      </c>
      <c r="E35" s="17">
        <v>1659.8530086999999</v>
      </c>
      <c r="G35" s="5">
        <v>20</v>
      </c>
      <c r="H35" s="31">
        <v>0.94140000000000001</v>
      </c>
      <c r="I35" s="5">
        <v>1291.77</v>
      </c>
      <c r="J35" s="7">
        <v>10.65</v>
      </c>
    </row>
    <row r="36" spans="2:10" x14ac:dyDescent="0.25">
      <c r="B36" s="8"/>
      <c r="C36" s="26"/>
      <c r="D36" s="27"/>
      <c r="E36" s="30"/>
      <c r="G36" s="5"/>
      <c r="H36" s="31"/>
      <c r="I36" s="5"/>
      <c r="J36" s="32">
        <v>58.27</v>
      </c>
    </row>
    <row r="37" spans="2:10" x14ac:dyDescent="0.25">
      <c r="B37" s="8"/>
      <c r="C37" s="11">
        <v>2277</v>
      </c>
      <c r="D37" s="14">
        <v>10118720.269154854</v>
      </c>
      <c r="E37" s="18"/>
      <c r="G37" s="5">
        <v>25</v>
      </c>
      <c r="H37" s="31">
        <v>0.94089999999999996</v>
      </c>
      <c r="I37" s="5">
        <v>1290.5</v>
      </c>
      <c r="J37" s="7">
        <v>10.6</v>
      </c>
    </row>
    <row r="38" spans="2:10" x14ac:dyDescent="0.25">
      <c r="B38" s="22"/>
      <c r="C38" s="23"/>
      <c r="D38" s="24"/>
      <c r="E38" s="29"/>
      <c r="G38" s="5"/>
      <c r="H38" s="31"/>
      <c r="I38" s="5"/>
      <c r="J38" s="32">
        <v>58.06</v>
      </c>
    </row>
    <row r="39" spans="2:10" x14ac:dyDescent="0.25">
      <c r="B39" s="8">
        <v>25</v>
      </c>
      <c r="C39" s="10">
        <v>2371</v>
      </c>
      <c r="D39" s="13">
        <v>10133863.377056301</v>
      </c>
      <c r="E39" s="17">
        <v>2044.2409072999999</v>
      </c>
      <c r="G39" s="5">
        <v>30</v>
      </c>
      <c r="H39" s="31">
        <v>0.94089999999999996</v>
      </c>
      <c r="I39" s="5">
        <v>1296.31</v>
      </c>
      <c r="J39" s="7">
        <v>10.7</v>
      </c>
    </row>
    <row r="40" spans="2:10" x14ac:dyDescent="0.25">
      <c r="B40" s="8"/>
      <c r="C40" s="11">
        <v>2276</v>
      </c>
      <c r="D40" s="14">
        <v>12089555.121119685</v>
      </c>
      <c r="E40" s="18"/>
      <c r="G40" s="5"/>
      <c r="H40" s="31"/>
      <c r="I40" s="5"/>
      <c r="J40" s="32">
        <v>58.45</v>
      </c>
    </row>
    <row r="41" spans="2:10" x14ac:dyDescent="0.25">
      <c r="B41" s="8">
        <v>30</v>
      </c>
      <c r="C41" s="10">
        <v>2381</v>
      </c>
      <c r="D41" s="13">
        <v>12160635.9783941</v>
      </c>
      <c r="E41" s="17">
        <v>2454.4015013999901</v>
      </c>
    </row>
    <row r="42" spans="2:10" x14ac:dyDescent="0.25">
      <c r="B42" s="8"/>
      <c r="C42" s="11">
        <v>2291</v>
      </c>
      <c r="D42" s="14">
        <v>14091766.172617981</v>
      </c>
      <c r="E42" s="18"/>
    </row>
  </sheetData>
  <mergeCells count="34">
    <mergeCell ref="H37:H38"/>
    <mergeCell ref="I27:I28"/>
    <mergeCell ref="I29:I30"/>
    <mergeCell ref="I31:I32"/>
    <mergeCell ref="I33:I34"/>
    <mergeCell ref="I35:I36"/>
    <mergeCell ref="I37:I38"/>
    <mergeCell ref="G35:G36"/>
    <mergeCell ref="G33:G34"/>
    <mergeCell ref="G31:G32"/>
    <mergeCell ref="G29:G30"/>
    <mergeCell ref="G27:G28"/>
    <mergeCell ref="H27:H28"/>
    <mergeCell ref="H29:H30"/>
    <mergeCell ref="H31:H32"/>
    <mergeCell ref="H33:H34"/>
    <mergeCell ref="H35:H36"/>
    <mergeCell ref="B41:B42"/>
    <mergeCell ref="E24:E25"/>
    <mergeCell ref="E27:E29"/>
    <mergeCell ref="E31:E33"/>
    <mergeCell ref="E35:E37"/>
    <mergeCell ref="E39:E40"/>
    <mergeCell ref="E41:E42"/>
    <mergeCell ref="N2:O2"/>
    <mergeCell ref="B24:B25"/>
    <mergeCell ref="B27:B29"/>
    <mergeCell ref="B31:B33"/>
    <mergeCell ref="B35:B37"/>
    <mergeCell ref="B39:B40"/>
    <mergeCell ref="I39:I40"/>
    <mergeCell ref="H39:H40"/>
    <mergeCell ref="G39:G40"/>
    <mergeCell ref="G37:G38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building_table_results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Mahfuzah Fariha</cp:lastModifiedBy>
  <dcterms:created xsi:type="dcterms:W3CDTF">2025-11-12T13:33:13Z</dcterms:created>
  <dcterms:modified xsi:type="dcterms:W3CDTF">2025-11-12T16:54:20Z</dcterms:modified>
</cp:coreProperties>
</file>